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Risk Register" sheetId="2" r:id="rId6"/>
    <sheet state="visible" name="POA&amp;M" sheetId="3" r:id="rId7"/>
  </sheets>
  <definedNames/>
  <calcPr/>
</workbook>
</file>

<file path=xl/sharedStrings.xml><?xml version="1.0" encoding="utf-8"?>
<sst xmlns="http://schemas.openxmlformats.org/spreadsheetml/2006/main" count="224" uniqueCount="171">
  <si>
    <t>Risk ID</t>
  </si>
  <si>
    <t>PulseCare Telehealth — Cybersecurity Risk Assessment</t>
  </si>
  <si>
    <t>NIST CSF 2.0 / NIST SP 800-30 Aligned | HIPAA Security Rule Crosswalk</t>
  </si>
  <si>
    <t>Risk Rating</t>
  </si>
  <si>
    <t>Fictional Case Study for Portfolio Purposes — not based on any real client engagement or confidential information.</t>
  </si>
  <si>
    <t>Weakness</t>
  </si>
  <si>
    <t>Date Identified</t>
  </si>
  <si>
    <t>Remediation Action</t>
  </si>
  <si>
    <t>Organization Profile</t>
  </si>
  <si>
    <t>NIST CSF Function</t>
  </si>
  <si>
    <t>Resources Required</t>
  </si>
  <si>
    <t>•  PulseCare Telehealth — mid-size telehealth platform, ~150 employees</t>
  </si>
  <si>
    <t>Risk Category</t>
  </si>
  <si>
    <t>Responsible Party</t>
  </si>
  <si>
    <t>•  Handles PHI across patient scheduling, billing, and live video visits</t>
  </si>
  <si>
    <t>Risk Description</t>
  </si>
  <si>
    <t>Target Completion</t>
  </si>
  <si>
    <t>•  Cloud-hosted EHR integration; third-party billing clearinghouse and video vendor</t>
  </si>
  <si>
    <t>Risk Summary (auto-calculated from Risk Register)</t>
  </si>
  <si>
    <t>Threat Source</t>
  </si>
  <si>
    <t>Status</t>
  </si>
  <si>
    <t>Critical risks identified:</t>
  </si>
  <si>
    <t>Vulnerability</t>
  </si>
  <si>
    <t>RISK-10</t>
  </si>
  <si>
    <t>Existing Controls</t>
  </si>
  <si>
    <t>Likelihood (1-5)</t>
  </si>
  <si>
    <t>Critical</t>
  </si>
  <si>
    <t>Impact (1-5)</t>
  </si>
  <si>
    <t>No centralized log correlation across EHR, video, and cloud</t>
  </si>
  <si>
    <t>Deploy a SIEM (e.g., Wazuh) to aggregate logs from all three systems and build correlation alerting rules</t>
  </si>
  <si>
    <t>Risk Score</t>
  </si>
  <si>
    <t>SIEM platform, 1 engineer (40 hrs)</t>
  </si>
  <si>
    <t>Security Engineer</t>
  </si>
  <si>
    <t>HIPAA Safeguard Mapping</t>
  </si>
  <si>
    <t>2026-04-30</t>
  </si>
  <si>
    <t>Not Started</t>
  </si>
  <si>
    <t>RISK-01</t>
  </si>
  <si>
    <t>2026-01-15</t>
  </si>
  <si>
    <t>RISK-06</t>
  </si>
  <si>
    <t>Govern</t>
  </si>
  <si>
    <t>Risk Management Strategy</t>
  </si>
  <si>
    <t>No formal cybersecurity governance committee with executive sponsorship; security strategy decisions made ad hoc by IT Director without board-level visibility.</t>
  </si>
  <si>
    <t>MFA not enforced for clinical staff EHR access</t>
  </si>
  <si>
    <t>Internal process failure</t>
  </si>
  <si>
    <t>Extend existing Okta MFA policy to all EHR user roles; enforce via conditional access policy</t>
  </si>
  <si>
    <t>Okta policy config (8 hrs)</t>
  </si>
  <si>
    <t>No documented governance charter or risk oversight committee</t>
  </si>
  <si>
    <t>IT Director</t>
  </si>
  <si>
    <t>Security issues escalated informally to IT Director</t>
  </si>
  <si>
    <t>2026-03-01</t>
  </si>
  <si>
    <t>RISK-03</t>
  </si>
  <si>
    <t>Vendors onboarded without BAA review process</t>
  </si>
  <si>
    <t>Implement a vendor security questionnaire and BAA tracking log; retroactively review existing vendor contracts</t>
  </si>
  <si>
    <t>Legal + Security review (20 hrs)</t>
  </si>
  <si>
    <t>Compliance Lead</t>
  </si>
  <si>
    <t>2026-03-15</t>
  </si>
  <si>
    <t>RISK-12</t>
  </si>
  <si>
    <t>High</t>
  </si>
  <si>
    <t>No documented incident response plan</t>
  </si>
  <si>
    <t>Author a formal IR plan defining roles, severity tiers, and a PHI-breach-specific playbook aligned to NIST SP 800-61</t>
  </si>
  <si>
    <t>Security Engineer (24 hrs)</t>
  </si>
  <si>
    <t>Security Officer</t>
  </si>
  <si>
    <t>2026-04-01</t>
  </si>
  <si>
    <t>High risks identified:</t>
  </si>
  <si>
    <t>RISK-07</t>
  </si>
  <si>
    <t>Unvalidated encryption-in-transit for billing data flow</t>
  </si>
  <si>
    <t>Validate TLS configuration on billing vendor integration; require evidence of encryption in vendor SOC 2 report</t>
  </si>
  <si>
    <t>Engineering review (8 hrs)</t>
  </si>
  <si>
    <t>Medium risks identified:</t>
  </si>
  <si>
    <t>2026-03-30</t>
  </si>
  <si>
    <t>RISK-05</t>
  </si>
  <si>
    <t>No recurring risk assessment cadence</t>
  </si>
  <si>
    <t>RISK-02</t>
  </si>
  <si>
    <t>Low risks identified:</t>
  </si>
  <si>
    <t>Establish an annual risk assessment policy with assigned ownership and calendar cadence</t>
  </si>
  <si>
    <t>Compliance Lead (4 hrs)</t>
  </si>
  <si>
    <t>Roles, Responsibilities &amp; Authorities</t>
  </si>
  <si>
    <t>2026-02-28</t>
  </si>
  <si>
    <t>No designated HIPAA Security Officer distinct from the IT Director role, creating a conflict between operational IT duties and independent security oversight.</t>
  </si>
  <si>
    <t>Top Findings</t>
  </si>
  <si>
    <t>Organizational/governance gap</t>
  </si>
  <si>
    <t>•  No centralized log correlation across EHR, telehealth video, and cloud infrastructure (RISK-10, Critical)</t>
  </si>
  <si>
    <t>Security function combined with IT operations, no segregation of duties</t>
  </si>
  <si>
    <t>IT Director handles day-to-day security tasks</t>
  </si>
  <si>
    <t>•  MFA not enforced for clinical staff accessing EHR remotely (RISK-06, Critical)</t>
  </si>
  <si>
    <t>•  Third-party vendors onboarded without a formal BAA review process (RISK-03, Critical)</t>
  </si>
  <si>
    <t>•  No documented incident response plan for a confirmed PHI breach (RISK-12, High)</t>
  </si>
  <si>
    <t>Methodology</t>
  </si>
  <si>
    <t>RISK-11</t>
  </si>
  <si>
    <t>Each risk scored as Likelihood (1-5) x Impact (1-5) = Risk Score (1-25). Score 1-4 = Low, 5-8 = Medium, 9-15 = High, 16-25 = Critical. Risks mapped to NIST CSF 2.0 functions and the corresponding HIPAA Security Rule safeguard.</t>
  </si>
  <si>
    <t>No formal detection process for unauthorized PHI access</t>
  </si>
  <si>
    <t>Define detection use cases for the new SIEM (tied to RISK-10 remediation); document escalation runbook</t>
  </si>
  <si>
    <t>Security Engineer (16 hrs)</t>
  </si>
  <si>
    <t>2026-05-15</t>
  </si>
  <si>
    <t>Supply Chain Risk Management</t>
  </si>
  <si>
    <t>Telehealth video vendor and billing clearinghouse were onboarded without a formal Business Associate Agreement (BAA) review process; both handle PHI.</t>
  </si>
  <si>
    <t>No formal governance committee</t>
  </si>
  <si>
    <t>Third-party compromise</t>
  </si>
  <si>
    <t>Establish a quarterly security governance committee with executive sponsorship and documented charter</t>
  </si>
  <si>
    <t>No vendor security questionnaire, no BAA tracking log, no annual vendor review</t>
  </si>
  <si>
    <t>Executive sponsor time</t>
  </si>
  <si>
    <t>Contracts reviewed by legal only, no security criteria</t>
  </si>
  <si>
    <t>CTO</t>
  </si>
  <si>
    <t>RISK-04</t>
  </si>
  <si>
    <t>Identify</t>
  </si>
  <si>
    <t>Asset Management</t>
  </si>
  <si>
    <t>Asset inventory for the patient-facing mobile app and EHR integration points is maintained via a manually updated spreadsheet with no automated discovery.</t>
  </si>
  <si>
    <t>Internal process gap</t>
  </si>
  <si>
    <t>No continuous asset discovery across cloud and mobile environments</t>
  </si>
  <si>
    <t>Manual spreadsheet updated quarterly</t>
  </si>
  <si>
    <t>Risk Assessment</t>
  </si>
  <si>
    <t>No formal, recurring risk assessment cadence exists; the organization's last full risk assessment was conducted over 18 months ago.</t>
  </si>
  <si>
    <t>No defined assessment schedule or ownership of the risk assessment process</t>
  </si>
  <si>
    <t>Ad hoc assessments triggered only after incidents</t>
  </si>
  <si>
    <t>Protect</t>
  </si>
  <si>
    <t>Identity Management &amp; Access Control</t>
  </si>
  <si>
    <t>Multi-factor authentication is not enforced for clinical staff accessing the EHR remotely; MFA is only enforced for cloud admin and root accounts.</t>
  </si>
  <si>
    <t>Credential theft / phishing</t>
  </si>
  <si>
    <t>Inconsistent MFA policy across clinical vs. administrative accounts</t>
  </si>
  <si>
    <t>MFA enforced for AWS root and Okta SSO admin only</t>
  </si>
  <si>
    <t>Data Protection</t>
  </si>
  <si>
    <t>PHI transmitted between the scheduling system and the third-party billing vendor lacks validated end-to-end encryption in transit.</t>
  </si>
  <si>
    <t>Network interception</t>
  </si>
  <si>
    <t>No encryption-in-transit validation process for vendor data flows</t>
  </si>
  <si>
    <t>TLS used for primary EHR traffic only, billing flow unverified</t>
  </si>
  <si>
    <t>RISK-08</t>
  </si>
  <si>
    <t>Periodic access reviews for EHR user accounts are not formally scheduled; two terminated contractor accounts were found still active during this assessment.</t>
  </si>
  <si>
    <t>Insider threat / stale access</t>
  </si>
  <si>
    <t>No defined quarterly or semi-annual access recertification process</t>
  </si>
  <si>
    <t>Role-based access exists at point of provisioning only</t>
  </si>
  <si>
    <t>RISK-09</t>
  </si>
  <si>
    <t>Awareness &amp; Training</t>
  </si>
  <si>
    <t>Security awareness training is a single generic annual module for all staff, not tailored by role for clinical vs. billing personnel who handle PHI differently.</t>
  </si>
  <si>
    <t>Phishing / social engineering</t>
  </si>
  <si>
    <t>Training content not differentiated by PHI access level or job function</t>
  </si>
  <si>
    <t>Annual company-wide training, no role-based modules</t>
  </si>
  <si>
    <t>Detect</t>
  </si>
  <si>
    <t>Continuous Monitoring</t>
  </si>
  <si>
    <t>No centralized log correlation exists across the EHR, telehealth video platform, and cloud infrastructure; logs remain siloed with no real-time alerting.</t>
  </si>
  <si>
    <t>External attacker / undetected compromise</t>
  </si>
  <si>
    <t>No SIEM or log aggregation layer across the three core systems</t>
  </si>
  <si>
    <t>Logs exist independently per system, reviewed manually</t>
  </si>
  <si>
    <t>Adverse Event Analysis</t>
  </si>
  <si>
    <t>No formal process or defined use cases exist for detecting unauthorized PHI access; detection currently relies on manual, ad hoc log review.</t>
  </si>
  <si>
    <t>No documented detection use cases or 24/7 monitoring coverage</t>
  </si>
  <si>
    <t>Manual log review performed on an irregular basis</t>
  </si>
  <si>
    <t>Respond</t>
  </si>
  <si>
    <t>Incident Management</t>
  </si>
  <si>
    <t>No documented incident response plan exists defining roles, escalation paths, or response procedures in the event of a confirmed PHI breach.</t>
  </si>
  <si>
    <t>Any confirmed security incident</t>
  </si>
  <si>
    <t>No IR plan, no defined severity classification, no on-call structure</t>
  </si>
  <si>
    <t>Response coordinated informally by engineering leadership</t>
  </si>
  <si>
    <t>RISK-13</t>
  </si>
  <si>
    <t>Incident Response Reporting &amp; Communication</t>
  </si>
  <si>
    <t>No defined breach notification workflow exists mapped to HIPAA's 60-day individual notification requirement or applicable state breach laws.</t>
  </si>
  <si>
    <t>Regulatory/compliance failure following incident</t>
  </si>
  <si>
    <t>No documented notification workflow or legal escalation path</t>
  </si>
  <si>
    <t>Legal team would be engaged informally if a breach occurred</t>
  </si>
  <si>
    <t>RISK-14</t>
  </si>
  <si>
    <t>Recover</t>
  </si>
  <si>
    <t>Incident Recovery Plan Execution</t>
  </si>
  <si>
    <t>A disaster recovery plan for the EHR and patient data exists on paper but has not been validated via a tabletop exercise in over 12 months.</t>
  </si>
  <si>
    <t>System outage / disaster event</t>
  </si>
  <si>
    <t>DR plan unvalidated, team unfamiliar with current execution steps</t>
  </si>
  <si>
    <t>Documented DR plan; automated database backups</t>
  </si>
  <si>
    <t>RISK-15</t>
  </si>
  <si>
    <t>Data Backup &amp; Recovery</t>
  </si>
  <si>
    <t>Backup restoration procedures for the patient scheduling database have not been tested; recovery time and recovery point objectives are unconfirmed.</t>
  </si>
  <si>
    <t>System outage / data loss event</t>
  </si>
  <si>
    <t>No validated restore test; RTO/RPO targets undocumented</t>
  </si>
  <si>
    <t>Automated nightly backups configured, restore untested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</si>
</sst>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1E3A5F"/>
      <name val="Arial"/>
    </font>
    <font>
      <b/>
      <sz val="10.0"/>
      <color rgb="FFFFFFFF"/>
      <name val="Arial"/>
    </font>
    <font>
      <i/>
      <sz val="12.0"/>
      <color rgb="FF555555"/>
      <name val="Arial"/>
    </font>
    <font>
      <i/>
      <sz val="10.0"/>
      <color rgb="FFC62828"/>
      <name val="Arial"/>
    </font>
    <font>
      <b/>
      <sz val="13.0"/>
      <color rgb="FF1E3A5F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5F8FC"/>
        <bgColor rgb="FFF5F8F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3" fontId="7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top" wrapText="0"/>
    </xf>
    <xf borderId="0" fillId="0" fontId="6" numFmtId="0" xfId="0" applyAlignment="1" applyFont="1">
      <alignment shrinkToFit="0" vertical="bottom" wrapText="1"/>
    </xf>
    <xf borderId="1" fillId="4" fontId="7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AB"/>
          <bgColor rgb="FFFFC7AB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1</v>
      </c>
    </row>
    <row r="2">
      <c r="A2" s="3" t="s">
        <v>2</v>
      </c>
    </row>
    <row r="4">
      <c r="A4" s="4" t="s">
        <v>4</v>
      </c>
    </row>
    <row r="6">
      <c r="A6" s="5" t="s">
        <v>8</v>
      </c>
    </row>
    <row r="7">
      <c r="A7" s="6" t="s">
        <v>11</v>
      </c>
    </row>
    <row r="8">
      <c r="A8" s="6" t="s">
        <v>14</v>
      </c>
    </row>
    <row r="9">
      <c r="A9" s="6" t="s">
        <v>17</v>
      </c>
    </row>
    <row r="11">
      <c r="A11" s="5" t="s">
        <v>18</v>
      </c>
    </row>
    <row r="12">
      <c r="A12" s="6" t="s">
        <v>21</v>
      </c>
      <c r="B12" s="10">
        <f>COUNTIF('Risk Register'!L2:L16,"Critical")</f>
        <v>3</v>
      </c>
    </row>
    <row r="13">
      <c r="A13" s="6" t="s">
        <v>63</v>
      </c>
      <c r="B13" s="10">
        <f>COUNTIF('Risk Register'!L2:L16,"High")</f>
        <v>6</v>
      </c>
    </row>
    <row r="14">
      <c r="A14" s="6" t="s">
        <v>68</v>
      </c>
      <c r="B14" s="10">
        <f>COUNTIF('Risk Register'!L2:L16,"Medium")</f>
        <v>5</v>
      </c>
    </row>
    <row r="15">
      <c r="A15" s="6" t="s">
        <v>73</v>
      </c>
      <c r="B15" s="10">
        <f>COUNTIF('Risk Register'!L2:L16,"Low")</f>
        <v>1</v>
      </c>
    </row>
    <row r="17">
      <c r="A17" s="5" t="s">
        <v>79</v>
      </c>
    </row>
    <row r="18">
      <c r="A18" s="6" t="s">
        <v>81</v>
      </c>
    </row>
    <row r="19">
      <c r="A19" s="6" t="s">
        <v>84</v>
      </c>
    </row>
    <row r="20">
      <c r="A20" s="6" t="s">
        <v>85</v>
      </c>
    </row>
    <row r="21" ht="15.75" customHeight="1">
      <c r="A21" s="6" t="s">
        <v>86</v>
      </c>
    </row>
    <row r="22" ht="15.75" customHeight="1"/>
    <row r="23" ht="15.75" customHeight="1">
      <c r="A23" s="5" t="s">
        <v>87</v>
      </c>
    </row>
    <row r="24" ht="45.0" customHeight="1">
      <c r="A24" s="12" t="s">
        <v>89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4.0"/>
    <col customWidth="1" min="4" max="4" width="20.0"/>
    <col customWidth="1" min="5" max="5" width="42.0"/>
    <col customWidth="1" min="6" max="6" width="16.0"/>
    <col customWidth="1" min="7" max="7" width="32.0"/>
    <col customWidth="1" min="8" max="8" width="28.0"/>
    <col customWidth="1" min="9" max="9" width="11.0"/>
    <col customWidth="1" min="10" max="10" width="9.0"/>
    <col customWidth="1" min="11" max="11" width="10.0"/>
    <col customWidth="1" min="12" max="12" width="11.0"/>
    <col customWidth="1" min="13" max="13" width="32.0"/>
    <col customWidth="1" min="14" max="26" width="8.71"/>
  </cols>
  <sheetData>
    <row r="1" ht="30.0" customHeight="1">
      <c r="A1" s="2" t="s">
        <v>0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19</v>
      </c>
      <c r="G1" s="2" t="s">
        <v>22</v>
      </c>
      <c r="H1" s="2" t="s">
        <v>24</v>
      </c>
      <c r="I1" s="2" t="s">
        <v>25</v>
      </c>
      <c r="J1" s="2" t="s">
        <v>27</v>
      </c>
      <c r="K1" s="2" t="s">
        <v>30</v>
      </c>
      <c r="L1" s="2" t="s">
        <v>3</v>
      </c>
      <c r="M1" s="2" t="s">
        <v>33</v>
      </c>
    </row>
    <row r="2" ht="60.0" customHeight="1">
      <c r="A2" s="7" t="s">
        <v>36</v>
      </c>
      <c r="B2" s="7" t="s">
        <v>37</v>
      </c>
      <c r="C2" s="7" t="s">
        <v>39</v>
      </c>
      <c r="D2" s="7" t="s">
        <v>40</v>
      </c>
      <c r="E2" s="7" t="s">
        <v>41</v>
      </c>
      <c r="F2" s="7" t="s">
        <v>43</v>
      </c>
      <c r="G2" s="7" t="s">
        <v>46</v>
      </c>
      <c r="H2" s="7" t="s">
        <v>48</v>
      </c>
      <c r="I2" s="7">
        <v>3.0</v>
      </c>
      <c r="J2" s="7">
        <v>4.0</v>
      </c>
      <c r="K2" s="9">
        <f t="shared" ref="K2:K16" si="1">I2*J2</f>
        <v>12</v>
      </c>
      <c r="L2" s="11" t="str">
        <f t="shared" ref="L2:L16" si="2">IF(K2&lt;=4,"Low",IF(K2&lt;=8,"Medium",IF(K2&lt;=15,"High","Critical")))</f>
        <v>High</v>
      </c>
    </row>
    <row r="3" ht="60.0" customHeight="1">
      <c r="A3" s="8" t="s">
        <v>72</v>
      </c>
      <c r="B3" s="8" t="s">
        <v>37</v>
      </c>
      <c r="C3" s="8" t="s">
        <v>39</v>
      </c>
      <c r="D3" s="8" t="s">
        <v>76</v>
      </c>
      <c r="E3" s="8" t="s">
        <v>78</v>
      </c>
      <c r="F3" s="8" t="s">
        <v>80</v>
      </c>
      <c r="G3" s="8" t="s">
        <v>82</v>
      </c>
      <c r="H3" s="8" t="s">
        <v>83</v>
      </c>
      <c r="I3" s="8">
        <v>3.0</v>
      </c>
      <c r="J3" s="8">
        <v>3.0</v>
      </c>
      <c r="K3" s="13">
        <f t="shared" si="1"/>
        <v>9</v>
      </c>
      <c r="L3" s="11" t="str">
        <f t="shared" si="2"/>
        <v>High</v>
      </c>
    </row>
    <row r="4" ht="60.0" customHeight="1">
      <c r="A4" s="7" t="s">
        <v>50</v>
      </c>
      <c r="B4" s="7" t="s">
        <v>37</v>
      </c>
      <c r="C4" s="7" t="s">
        <v>39</v>
      </c>
      <c r="D4" s="7" t="s">
        <v>94</v>
      </c>
      <c r="E4" s="7" t="s">
        <v>95</v>
      </c>
      <c r="F4" s="7" t="s">
        <v>97</v>
      </c>
      <c r="G4" s="7" t="s">
        <v>99</v>
      </c>
      <c r="H4" s="7" t="s">
        <v>101</v>
      </c>
      <c r="I4" s="7">
        <v>4.0</v>
      </c>
      <c r="J4" s="7">
        <v>5.0</v>
      </c>
      <c r="K4" s="9">
        <f t="shared" si="1"/>
        <v>20</v>
      </c>
      <c r="L4" s="11" t="str">
        <f t="shared" si="2"/>
        <v>Critical</v>
      </c>
    </row>
    <row r="5" ht="60.0" customHeight="1">
      <c r="A5" s="8" t="s">
        <v>103</v>
      </c>
      <c r="B5" s="8" t="s">
        <v>37</v>
      </c>
      <c r="C5" s="8" t="s">
        <v>104</v>
      </c>
      <c r="D5" s="8" t="s">
        <v>105</v>
      </c>
      <c r="E5" s="8" t="s">
        <v>106</v>
      </c>
      <c r="F5" s="8" t="s">
        <v>107</v>
      </c>
      <c r="G5" s="8" t="s">
        <v>108</v>
      </c>
      <c r="H5" s="8" t="s">
        <v>109</v>
      </c>
      <c r="I5" s="8">
        <v>2.0</v>
      </c>
      <c r="J5" s="8">
        <v>3.0</v>
      </c>
      <c r="K5" s="13">
        <f t="shared" si="1"/>
        <v>6</v>
      </c>
      <c r="L5" s="11" t="str">
        <f t="shared" si="2"/>
        <v>Medium</v>
      </c>
    </row>
    <row r="6" ht="60.0" customHeight="1">
      <c r="A6" s="7" t="s">
        <v>70</v>
      </c>
      <c r="B6" s="7" t="s">
        <v>37</v>
      </c>
      <c r="C6" s="7" t="s">
        <v>104</v>
      </c>
      <c r="D6" s="7" t="s">
        <v>110</v>
      </c>
      <c r="E6" s="7" t="s">
        <v>111</v>
      </c>
      <c r="F6" s="7" t="s">
        <v>107</v>
      </c>
      <c r="G6" s="7" t="s">
        <v>112</v>
      </c>
      <c r="H6" s="7" t="s">
        <v>113</v>
      </c>
      <c r="I6" s="7">
        <v>3.0</v>
      </c>
      <c r="J6" s="7">
        <v>4.0</v>
      </c>
      <c r="K6" s="9">
        <f t="shared" si="1"/>
        <v>12</v>
      </c>
      <c r="L6" s="11" t="str">
        <f t="shared" si="2"/>
        <v>High</v>
      </c>
    </row>
    <row r="7" ht="60.0" customHeight="1">
      <c r="A7" s="8" t="s">
        <v>38</v>
      </c>
      <c r="B7" s="8" t="s">
        <v>37</v>
      </c>
      <c r="C7" s="8" t="s">
        <v>114</v>
      </c>
      <c r="D7" s="8" t="s">
        <v>115</v>
      </c>
      <c r="E7" s="8" t="s">
        <v>116</v>
      </c>
      <c r="F7" s="8" t="s">
        <v>117</v>
      </c>
      <c r="G7" s="8" t="s">
        <v>118</v>
      </c>
      <c r="H7" s="8" t="s">
        <v>119</v>
      </c>
      <c r="I7" s="8">
        <v>4.0</v>
      </c>
      <c r="J7" s="8">
        <v>4.0</v>
      </c>
      <c r="K7" s="13">
        <f t="shared" si="1"/>
        <v>16</v>
      </c>
      <c r="L7" s="11" t="str">
        <f t="shared" si="2"/>
        <v>Critical</v>
      </c>
    </row>
    <row r="8" ht="60.0" customHeight="1">
      <c r="A8" s="7" t="s">
        <v>64</v>
      </c>
      <c r="B8" s="7" t="s">
        <v>37</v>
      </c>
      <c r="C8" s="7" t="s">
        <v>114</v>
      </c>
      <c r="D8" s="7" t="s">
        <v>120</v>
      </c>
      <c r="E8" s="7" t="s">
        <v>121</v>
      </c>
      <c r="F8" s="7" t="s">
        <v>122</v>
      </c>
      <c r="G8" s="7" t="s">
        <v>123</v>
      </c>
      <c r="H8" s="7" t="s">
        <v>124</v>
      </c>
      <c r="I8" s="7">
        <v>3.0</v>
      </c>
      <c r="J8" s="7">
        <v>5.0</v>
      </c>
      <c r="K8" s="9">
        <f t="shared" si="1"/>
        <v>15</v>
      </c>
      <c r="L8" s="11" t="str">
        <f t="shared" si="2"/>
        <v>High</v>
      </c>
    </row>
    <row r="9" ht="60.0" customHeight="1">
      <c r="A9" s="8" t="s">
        <v>125</v>
      </c>
      <c r="B9" s="8" t="s">
        <v>37</v>
      </c>
      <c r="C9" s="8" t="s">
        <v>114</v>
      </c>
      <c r="D9" s="8" t="s">
        <v>115</v>
      </c>
      <c r="E9" s="8" t="s">
        <v>126</v>
      </c>
      <c r="F9" s="8" t="s">
        <v>127</v>
      </c>
      <c r="G9" s="8" t="s">
        <v>128</v>
      </c>
      <c r="H9" s="8" t="s">
        <v>129</v>
      </c>
      <c r="I9" s="8">
        <v>2.0</v>
      </c>
      <c r="J9" s="8">
        <v>4.0</v>
      </c>
      <c r="K9" s="13">
        <f t="shared" si="1"/>
        <v>8</v>
      </c>
      <c r="L9" s="11" t="str">
        <f t="shared" si="2"/>
        <v>Medium</v>
      </c>
    </row>
    <row r="10" ht="60.0" customHeight="1">
      <c r="A10" s="7" t="s">
        <v>130</v>
      </c>
      <c r="B10" s="7" t="s">
        <v>37</v>
      </c>
      <c r="C10" s="7" t="s">
        <v>114</v>
      </c>
      <c r="D10" s="7" t="s">
        <v>131</v>
      </c>
      <c r="E10" s="7" t="s">
        <v>132</v>
      </c>
      <c r="F10" s="7" t="s">
        <v>133</v>
      </c>
      <c r="G10" s="7" t="s">
        <v>134</v>
      </c>
      <c r="H10" s="7" t="s">
        <v>135</v>
      </c>
      <c r="I10" s="7">
        <v>1.0</v>
      </c>
      <c r="J10" s="7">
        <v>2.0</v>
      </c>
      <c r="K10" s="9">
        <f t="shared" si="1"/>
        <v>2</v>
      </c>
      <c r="L10" s="11" t="str">
        <f t="shared" si="2"/>
        <v>Low</v>
      </c>
    </row>
    <row r="11" ht="60.0" customHeight="1">
      <c r="A11" s="8" t="s">
        <v>23</v>
      </c>
      <c r="B11" s="8" t="s">
        <v>37</v>
      </c>
      <c r="C11" s="8" t="s">
        <v>136</v>
      </c>
      <c r="D11" s="8" t="s">
        <v>137</v>
      </c>
      <c r="E11" s="8" t="s">
        <v>138</v>
      </c>
      <c r="F11" s="8" t="s">
        <v>139</v>
      </c>
      <c r="G11" s="8" t="s">
        <v>140</v>
      </c>
      <c r="H11" s="8" t="s">
        <v>141</v>
      </c>
      <c r="I11" s="8">
        <v>4.0</v>
      </c>
      <c r="J11" s="8">
        <v>5.0</v>
      </c>
      <c r="K11" s="13">
        <f t="shared" si="1"/>
        <v>20</v>
      </c>
      <c r="L11" s="11" t="str">
        <f t="shared" si="2"/>
        <v>Critical</v>
      </c>
    </row>
    <row r="12" ht="60.0" customHeight="1">
      <c r="A12" s="7" t="s">
        <v>88</v>
      </c>
      <c r="B12" s="7" t="s">
        <v>37</v>
      </c>
      <c r="C12" s="7" t="s">
        <v>136</v>
      </c>
      <c r="D12" s="7" t="s">
        <v>142</v>
      </c>
      <c r="E12" s="7" t="s">
        <v>143</v>
      </c>
      <c r="F12" s="7" t="s">
        <v>139</v>
      </c>
      <c r="G12" s="7" t="s">
        <v>144</v>
      </c>
      <c r="H12" s="7" t="s">
        <v>145</v>
      </c>
      <c r="I12" s="7">
        <v>3.0</v>
      </c>
      <c r="J12" s="7">
        <v>4.0</v>
      </c>
      <c r="K12" s="9">
        <f t="shared" si="1"/>
        <v>12</v>
      </c>
      <c r="L12" s="11" t="str">
        <f t="shared" si="2"/>
        <v>High</v>
      </c>
    </row>
    <row r="13" ht="60.0" customHeight="1">
      <c r="A13" s="8" t="s">
        <v>56</v>
      </c>
      <c r="B13" s="8" t="s">
        <v>37</v>
      </c>
      <c r="C13" s="8" t="s">
        <v>146</v>
      </c>
      <c r="D13" s="8" t="s">
        <v>147</v>
      </c>
      <c r="E13" s="8" t="s">
        <v>148</v>
      </c>
      <c r="F13" s="8" t="s">
        <v>149</v>
      </c>
      <c r="G13" s="8" t="s">
        <v>150</v>
      </c>
      <c r="H13" s="8" t="s">
        <v>151</v>
      </c>
      <c r="I13" s="8">
        <v>3.0</v>
      </c>
      <c r="J13" s="8">
        <v>5.0</v>
      </c>
      <c r="K13" s="13">
        <f t="shared" si="1"/>
        <v>15</v>
      </c>
      <c r="L13" s="11" t="str">
        <f t="shared" si="2"/>
        <v>High</v>
      </c>
    </row>
    <row r="14" ht="60.0" customHeight="1">
      <c r="A14" s="7" t="s">
        <v>152</v>
      </c>
      <c r="B14" s="7" t="s">
        <v>37</v>
      </c>
      <c r="C14" s="7" t="s">
        <v>146</v>
      </c>
      <c r="D14" s="7" t="s">
        <v>153</v>
      </c>
      <c r="E14" s="7" t="s">
        <v>154</v>
      </c>
      <c r="F14" s="7" t="s">
        <v>155</v>
      </c>
      <c r="G14" s="7" t="s">
        <v>156</v>
      </c>
      <c r="H14" s="7" t="s">
        <v>157</v>
      </c>
      <c r="I14" s="7">
        <v>2.0</v>
      </c>
      <c r="J14" s="7">
        <v>4.0</v>
      </c>
      <c r="K14" s="9">
        <f t="shared" si="1"/>
        <v>8</v>
      </c>
      <c r="L14" s="11" t="str">
        <f t="shared" si="2"/>
        <v>Medium</v>
      </c>
    </row>
    <row r="15" ht="60.0" customHeight="1">
      <c r="A15" s="8" t="s">
        <v>158</v>
      </c>
      <c r="B15" s="8" t="s">
        <v>37</v>
      </c>
      <c r="C15" s="8" t="s">
        <v>159</v>
      </c>
      <c r="D15" s="8" t="s">
        <v>160</v>
      </c>
      <c r="E15" s="8" t="s">
        <v>161</v>
      </c>
      <c r="F15" s="8" t="s">
        <v>162</v>
      </c>
      <c r="G15" s="8" t="s">
        <v>163</v>
      </c>
      <c r="H15" s="8" t="s">
        <v>164</v>
      </c>
      <c r="I15" s="8">
        <v>2.0</v>
      </c>
      <c r="J15" s="8">
        <v>4.0</v>
      </c>
      <c r="K15" s="13">
        <f t="shared" si="1"/>
        <v>8</v>
      </c>
      <c r="L15" s="11" t="str">
        <f t="shared" si="2"/>
        <v>Medium</v>
      </c>
    </row>
    <row r="16" ht="60.0" customHeight="1">
      <c r="A16" s="7" t="s">
        <v>165</v>
      </c>
      <c r="B16" s="7" t="s">
        <v>37</v>
      </c>
      <c r="C16" s="7" t="s">
        <v>159</v>
      </c>
      <c r="D16" s="7" t="s">
        <v>166</v>
      </c>
      <c r="E16" s="7" t="s">
        <v>167</v>
      </c>
      <c r="F16" s="7" t="s">
        <v>168</v>
      </c>
      <c r="G16" s="7" t="s">
        <v>169</v>
      </c>
      <c r="H16" s="7" t="s">
        <v>170</v>
      </c>
      <c r="I16" s="7">
        <v>2.0</v>
      </c>
      <c r="J16" s="7">
        <v>3.0</v>
      </c>
      <c r="K16" s="9">
        <f t="shared" si="1"/>
        <v>6</v>
      </c>
      <c r="L16" s="11" t="str">
        <f t="shared" si="2"/>
        <v>Medium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16">
    <cfRule type="expression" dxfId="0" priority="1">
      <formula>$K2&lt;=4</formula>
    </cfRule>
  </conditionalFormatting>
  <conditionalFormatting sqref="K2:K16">
    <cfRule type="expression" dxfId="1" priority="2">
      <formula>AND($K2&gt;=5,$K2&lt;=8)</formula>
    </cfRule>
  </conditionalFormatting>
  <conditionalFormatting sqref="K2:K16">
    <cfRule type="expression" dxfId="2" priority="3">
      <formula>AND($K2&gt;=9,$K2&lt;=15)</formula>
    </cfRule>
  </conditionalFormatting>
  <conditionalFormatting sqref="K2:K16">
    <cfRule type="expression" dxfId="3" priority="4">
      <formula>$K2&gt;=16</formula>
    </cfRule>
  </conditionalFormatting>
  <conditionalFormatting sqref="L2:L16">
    <cfRule type="expression" dxfId="0" priority="5">
      <formula>$K2&lt;=4</formula>
    </cfRule>
  </conditionalFormatting>
  <conditionalFormatting sqref="L2:L16">
    <cfRule type="expression" dxfId="1" priority="6">
      <formula>AND($K2&gt;=5,$K2&lt;=8)</formula>
    </cfRule>
  </conditionalFormatting>
  <conditionalFormatting sqref="L2:L16">
    <cfRule type="expression" dxfId="2" priority="7">
      <formula>AND($K2&gt;=9,$K2&lt;=15)</formula>
    </cfRule>
  </conditionalFormatting>
  <conditionalFormatting sqref="L2:L16">
    <cfRule type="expression" dxfId="3" priority="8">
      <formula>$K2&gt;=16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3" width="36.0"/>
    <col customWidth="1" min="4" max="4" width="42.0"/>
    <col customWidth="1" min="5" max="5" width="24.0"/>
    <col customWidth="1" min="6" max="6" width="20.0"/>
    <col customWidth="1" min="7" max="7" width="15.0"/>
    <col customWidth="1" min="8" max="8" width="12.0"/>
    <col customWidth="1" min="9" max="26" width="8.71"/>
  </cols>
  <sheetData>
    <row r="1" ht="27.75" customHeight="1">
      <c r="A1" s="2" t="s">
        <v>0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13</v>
      </c>
      <c r="G1" s="2" t="s">
        <v>16</v>
      </c>
      <c r="H1" s="2" t="s">
        <v>20</v>
      </c>
    </row>
    <row r="2" ht="45.0" customHeight="1">
      <c r="A2" s="7" t="s">
        <v>23</v>
      </c>
      <c r="B2" s="7" t="s">
        <v>26</v>
      </c>
      <c r="C2" s="7" t="s">
        <v>28</v>
      </c>
      <c r="D2" s="7" t="s">
        <v>29</v>
      </c>
      <c r="E2" s="7" t="s">
        <v>31</v>
      </c>
      <c r="F2" s="7" t="s">
        <v>32</v>
      </c>
      <c r="G2" s="7" t="s">
        <v>34</v>
      </c>
      <c r="H2" s="7" t="s">
        <v>35</v>
      </c>
    </row>
    <row r="3" ht="45.0" customHeight="1">
      <c r="A3" s="8" t="s">
        <v>38</v>
      </c>
      <c r="B3" s="8" t="s">
        <v>26</v>
      </c>
      <c r="C3" s="8" t="s">
        <v>42</v>
      </c>
      <c r="D3" s="8" t="s">
        <v>44</v>
      </c>
      <c r="E3" s="8" t="s">
        <v>45</v>
      </c>
      <c r="F3" s="8" t="s">
        <v>47</v>
      </c>
      <c r="G3" s="8" t="s">
        <v>49</v>
      </c>
      <c r="H3" s="8" t="s">
        <v>35</v>
      </c>
    </row>
    <row r="4" ht="45.0" customHeight="1">
      <c r="A4" s="7" t="s">
        <v>50</v>
      </c>
      <c r="B4" s="7" t="s">
        <v>26</v>
      </c>
      <c r="C4" s="7" t="s">
        <v>51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35</v>
      </c>
    </row>
    <row r="5" ht="45.0" customHeight="1">
      <c r="A5" s="8" t="s">
        <v>56</v>
      </c>
      <c r="B5" s="8" t="s">
        <v>57</v>
      </c>
      <c r="C5" s="8" t="s">
        <v>58</v>
      </c>
      <c r="D5" s="8" t="s">
        <v>59</v>
      </c>
      <c r="E5" s="8" t="s">
        <v>60</v>
      </c>
      <c r="F5" s="8" t="s">
        <v>61</v>
      </c>
      <c r="G5" s="8" t="s">
        <v>62</v>
      </c>
      <c r="H5" s="8" t="s">
        <v>35</v>
      </c>
    </row>
    <row r="6" ht="45.0" customHeight="1">
      <c r="A6" s="7" t="s">
        <v>64</v>
      </c>
      <c r="B6" s="7" t="s">
        <v>57</v>
      </c>
      <c r="C6" s="7" t="s">
        <v>65</v>
      </c>
      <c r="D6" s="7" t="s">
        <v>66</v>
      </c>
      <c r="E6" s="7" t="s">
        <v>67</v>
      </c>
      <c r="F6" s="7" t="s">
        <v>32</v>
      </c>
      <c r="G6" s="7" t="s">
        <v>69</v>
      </c>
      <c r="H6" s="7" t="s">
        <v>35</v>
      </c>
    </row>
    <row r="7" ht="45.0" customHeight="1">
      <c r="A7" s="8" t="s">
        <v>70</v>
      </c>
      <c r="B7" s="8" t="s">
        <v>57</v>
      </c>
      <c r="C7" s="8" t="s">
        <v>71</v>
      </c>
      <c r="D7" s="8" t="s">
        <v>74</v>
      </c>
      <c r="E7" s="8" t="s">
        <v>75</v>
      </c>
      <c r="F7" s="8" t="s">
        <v>54</v>
      </c>
      <c r="G7" s="8" t="s">
        <v>77</v>
      </c>
      <c r="H7" s="8" t="s">
        <v>35</v>
      </c>
    </row>
    <row r="8" ht="45.0" customHeight="1">
      <c r="A8" s="7" t="s">
        <v>88</v>
      </c>
      <c r="B8" s="7" t="s">
        <v>57</v>
      </c>
      <c r="C8" s="7" t="s">
        <v>90</v>
      </c>
      <c r="D8" s="7" t="s">
        <v>91</v>
      </c>
      <c r="E8" s="7" t="s">
        <v>92</v>
      </c>
      <c r="F8" s="7" t="s">
        <v>32</v>
      </c>
      <c r="G8" s="7" t="s">
        <v>93</v>
      </c>
      <c r="H8" s="7" t="s">
        <v>35</v>
      </c>
    </row>
    <row r="9" ht="45.0" customHeight="1">
      <c r="A9" s="8" t="s">
        <v>36</v>
      </c>
      <c r="B9" s="8" t="s">
        <v>57</v>
      </c>
      <c r="C9" s="8" t="s">
        <v>96</v>
      </c>
      <c r="D9" s="8" t="s">
        <v>98</v>
      </c>
      <c r="E9" s="8" t="s">
        <v>100</v>
      </c>
      <c r="F9" s="8" t="s">
        <v>102</v>
      </c>
      <c r="G9" s="8" t="s">
        <v>49</v>
      </c>
      <c r="H9" s="8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